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ssas" sheetId="1" state="visible" r:id="rId1"/>
    <sheet name="Meta" sheetId="2" state="visible" r:id="rId2"/>
    <sheet name="Simulaçã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R$ 0.00"/>
    <numFmt numFmtId="165" formatCode="US$ #,##0.00;(US$ #,##0.00);-"/>
    <numFmt numFmtId="166" formatCode="R$ #,##0.00;(R$ #,##0.00);-"/>
    <numFmt numFmtId="167" formatCode="0.0%;(0.0%);-"/>
    <numFmt numFmtId="168" formatCode="#,##0;(#,##0);-"/>
    <numFmt numFmtId="169" formatCode="R$ #,##0;(R$ #,##0);-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CCCCC"/>
    </font>
    <font>
      <name val="Arial"/>
      <i val="1"/>
      <sz val="9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color rgb="00808080"/>
      <sz val="9"/>
    </font>
    <font>
      <name val="Arial"/>
      <b val="1"/>
    </font>
    <font>
      <name val="Arial"/>
      <color rgb="00808080"/>
    </font>
    <font>
      <name val="Arial"/>
      <color rgb="0000800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31313"/>
      </patternFill>
    </fill>
    <fill>
      <patternFill patternType="solid">
        <fgColor rgb="0000B8CC"/>
      </patternFill>
    </fill>
    <fill>
      <patternFill patternType="solid">
        <fgColor rgb="00FFFF00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164" fontId="6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166" fontId="5" fillId="0" borderId="1" applyAlignment="1" pivotButton="0" quotePrefix="0" xfId="0">
      <alignment vertical="center"/>
    </xf>
    <xf numFmtId="165" fontId="6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166" fontId="6" fillId="4" borderId="1" applyAlignment="1" pivotButton="0" quotePrefix="0" xfId="0">
      <alignment vertical="center"/>
    </xf>
    <xf numFmtId="166" fontId="8" fillId="0" borderId="0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167" fontId="6" fillId="4" borderId="1" applyAlignment="1" pivotButton="0" quotePrefix="0" xfId="0">
      <alignment vertical="center"/>
    </xf>
    <xf numFmtId="168" fontId="6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6" fontId="10" fillId="0" borderId="1" applyAlignment="1" pivotButton="0" quotePrefix="0" xfId="0">
      <alignment vertical="center"/>
    </xf>
    <xf numFmtId="167" fontId="10" fillId="0" borderId="1" applyAlignment="1" pivotButton="0" quotePrefix="0" xfId="0">
      <alignment vertical="center"/>
    </xf>
    <xf numFmtId="166" fontId="11" fillId="5" borderId="1" applyAlignment="1" pivotButton="0" quotePrefix="0" xfId="0">
      <alignment vertical="center"/>
    </xf>
    <xf numFmtId="169" fontId="5" fillId="0" borderId="1" applyAlignment="1" pivotButton="0" quotePrefix="0" xfId="0">
      <alignment vertical="center"/>
    </xf>
    <xf numFmtId="167" fontId="5" fillId="0" borderId="1" applyAlignment="1" pivotButton="0" quotePrefix="0" xfId="0">
      <alignment vertical="center"/>
    </xf>
    <xf numFmtId="49" fontId="10" fillId="0" borderId="1" applyAlignment="1" pivotButton="0" quotePrefix="0" xfId="0">
      <alignment vertical="center"/>
    </xf>
    <xf numFmtId="168" fontId="10" fillId="0" borderId="1" applyAlignment="1" pivotButton="0" quotePrefix="0" xfId="0">
      <alignment vertical="center"/>
    </xf>
    <xf numFmtId="166" fontId="8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ont>
        <name val="Arial"/>
        <b val="1"/>
        <color rgb="00C00000"/>
      </font>
    </dxf>
    <dxf>
      <font>
        <name val="Arial"/>
        <b val="1"/>
        <color rgb="00008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62" customWidth="1" min="4" max="4"/>
  </cols>
  <sheetData>
    <row r="1" ht="26" customHeight="1">
      <c r="A1" s="1" t="inlineStr">
        <is>
          <t>KINETIC · Precificação</t>
        </is>
      </c>
      <c r="B1" s="2" t="n"/>
      <c r="C1" s="2" t="n"/>
      <c r="D1" s="3" t="n"/>
      <c r="E1" s="2" t="n"/>
    </row>
    <row r="2">
      <c r="A2" s="4" t="inlineStr">
        <is>
          <t>Edite só as células AMARELAS (texto azul). Todo o resto se recalcula sozinho.</t>
        </is>
      </c>
      <c r="B2" s="2" t="n"/>
      <c r="C2" s="2" t="n"/>
      <c r="D2" s="3" t="n"/>
      <c r="E2" s="2" t="n"/>
    </row>
    <row r="3">
      <c r="A3" s="5" t="inlineStr">
        <is>
          <t>Legenda: amarelo/azul = você preenche · preto = fórmula · verde = vem de outra aba. Valores de exemplo já preenchidos.</t>
        </is>
      </c>
      <c r="B3" s="6" t="n"/>
      <c r="C3" s="6" t="n"/>
      <c r="D3" s="7" t="n"/>
      <c r="E3" s="6" t="n"/>
    </row>
    <row r="4">
      <c r="A4" s="6" t="n"/>
      <c r="B4" s="6" t="n"/>
      <c r="C4" s="6" t="n"/>
      <c r="D4" s="7" t="n"/>
      <c r="E4" s="6" t="n"/>
    </row>
    <row r="5">
      <c r="A5" s="8" t="inlineStr">
        <is>
          <t>Câmbio</t>
        </is>
      </c>
      <c r="B5" s="9" t="n"/>
      <c r="C5" s="9" t="n"/>
      <c r="D5" s="10" t="n"/>
      <c r="E5" s="9" t="n"/>
    </row>
    <row r="6">
      <c r="A6" s="11" t="inlineStr">
        <is>
          <t>Dólar (R$ por US$)</t>
        </is>
      </c>
      <c r="B6" s="12" t="n">
        <v>5.5</v>
      </c>
      <c r="C6" s="13" t="n"/>
      <c r="D6" s="14" t="inlineStr">
        <is>
          <t>Atualize pelo câmbio do dia + IOF do cartão (~3,5%).</t>
        </is>
      </c>
      <c r="E6" s="6" t="n"/>
    </row>
    <row r="7">
      <c r="A7" s="6" t="n"/>
      <c r="B7" s="6" t="n"/>
      <c r="C7" s="6" t="n"/>
      <c r="D7" s="7" t="n"/>
      <c r="E7" s="6" t="n"/>
    </row>
    <row r="8">
      <c r="A8" s="8" t="inlineStr">
        <is>
          <t>Custos fixos de infraestrutura</t>
        </is>
      </c>
      <c r="B8" s="9" t="n"/>
      <c r="C8" s="9" t="n"/>
      <c r="D8" s="10" t="n"/>
      <c r="E8" s="9" t="n"/>
    </row>
    <row r="9">
      <c r="A9" s="15" t="inlineStr">
        <is>
          <t>Item</t>
        </is>
      </c>
      <c r="B9" s="15" t="inlineStr">
        <is>
          <t>Valor mensal (R$)</t>
        </is>
      </c>
      <c r="C9" s="15" t="inlineStr">
        <is>
          <t>Valor de entrada</t>
        </is>
      </c>
      <c r="D9" s="16" t="inlineStr">
        <is>
          <t>Como é cobrado</t>
        </is>
      </c>
      <c r="E9" s="6" t="n"/>
    </row>
    <row r="10">
      <c r="A10" s="11" t="inlineStr">
        <is>
          <t>Supabase Pro (banco e arquivos)</t>
        </is>
      </c>
      <c r="B10" s="17">
        <f>C10*IF(LEFT(D10,3)="USD",Premissas!$B$6,1)/IF(RIGHT(D10,3)="ano",12,1)</f>
        <v/>
      </c>
      <c r="C10" s="18" t="n">
        <v>25</v>
      </c>
      <c r="D10" s="19" t="inlineStr">
        <is>
          <t>USD/mês</t>
        </is>
      </c>
      <c r="E10" s="6" t="n"/>
    </row>
    <row r="11">
      <c r="A11" s="11" t="inlineStr">
        <is>
          <t>Claude Max 5x (desenvolvimento)</t>
        </is>
      </c>
      <c r="B11" s="17">
        <f>C11*IF(LEFT(D11,3)="USD",Premissas!$B$6,1)/IF(RIGHT(D11,3)="ano",12,1)</f>
        <v/>
      </c>
      <c r="C11" s="20" t="n">
        <v>550</v>
      </c>
      <c r="D11" s="19" t="inlineStr">
        <is>
          <t>BRL/mês</t>
        </is>
      </c>
      <c r="E11" s="6" t="n"/>
    </row>
    <row r="12">
      <c r="A12" s="11" t="inlineStr">
        <is>
          <t>StayCloud VPS (servidor da API)</t>
        </is>
      </c>
      <c r="B12" s="17">
        <f>C12*IF(LEFT(D12,3)="USD",Premissas!$B$6,1)/IF(RIGHT(D12,3)="ano",12,1)</f>
        <v/>
      </c>
      <c r="C12" s="20" t="n">
        <v>76.5</v>
      </c>
      <c r="D12" s="19" t="inlineStr">
        <is>
          <t>BRL/mês</t>
        </is>
      </c>
      <c r="E12" s="6" t="n"/>
    </row>
    <row r="13">
      <c r="A13" s="11" t="inlineStr">
        <is>
          <t>Resend Pro (e-mails)</t>
        </is>
      </c>
      <c r="B13" s="17">
        <f>C13*IF(LEFT(D13,3)="USD",Premissas!$B$6,1)/IF(RIGHT(D13,3)="ano",12,1)</f>
        <v/>
      </c>
      <c r="C13" s="18" t="n">
        <v>20</v>
      </c>
      <c r="D13" s="19" t="inlineStr">
        <is>
          <t>USD/mês</t>
        </is>
      </c>
      <c r="E13" s="6" t="n"/>
    </row>
    <row r="14">
      <c r="A14" s="11" t="inlineStr">
        <is>
          <t>Apple Developer (App Store)</t>
        </is>
      </c>
      <c r="B14" s="17">
        <f>C14*IF(LEFT(D14,3)="USD",Premissas!$B$6,1)/IF(RIGHT(D14,3)="ano",12,1)</f>
        <v/>
      </c>
      <c r="C14" s="18" t="n">
        <v>99</v>
      </c>
      <c r="D14" s="19" t="inlineStr">
        <is>
          <t>USD/ano</t>
        </is>
      </c>
      <c r="E14" s="6" t="n"/>
    </row>
    <row r="15">
      <c r="A15" s="11" t="inlineStr">
        <is>
          <t>Domínio</t>
        </is>
      </c>
      <c r="B15" s="17">
        <f>C15*IF(LEFT(D15,3)="USD",Premissas!$B$6,1)/IF(RIGHT(D15,3)="ano",12,1)</f>
        <v/>
      </c>
      <c r="C15" s="20" t="n">
        <v>40</v>
      </c>
      <c r="D15" s="19" t="inlineStr">
        <is>
          <t>BRL/ano</t>
        </is>
      </c>
      <c r="E15" s="6" t="n"/>
    </row>
    <row r="16">
      <c r="A16" s="11" t="inlineStr">
        <is>
          <t>Contador online</t>
        </is>
      </c>
      <c r="B16" s="17">
        <f>C16*IF(LEFT(D16,3)="USD",Premissas!$B$6,1)/IF(RIGHT(D16,3)="ano",12,1)</f>
        <v/>
      </c>
      <c r="C16" s="20" t="n">
        <v>200</v>
      </c>
      <c r="D16" s="19" t="inlineStr">
        <is>
          <t>BRL/mês</t>
        </is>
      </c>
      <c r="E16" s="6" t="n"/>
    </row>
    <row r="17">
      <c r="A17" s="15" t="inlineStr">
        <is>
          <t>Total de custos fixos por mês</t>
        </is>
      </c>
      <c r="B17" s="21">
        <f>SUM(B10:B16)</f>
        <v/>
      </c>
      <c r="C17" s="6" t="n"/>
      <c r="D17" s="7" t="n"/>
      <c r="E17" s="6" t="n"/>
    </row>
    <row r="18">
      <c r="A18" s="5" t="inlineStr">
        <is>
          <t>Na coluna D use: USD/mês, USD/ano, BRL/mês ou BRL/ano. Google Play (US$ 25 único) fica fora: é pago uma vez só.</t>
        </is>
      </c>
      <c r="B18" s="6" t="n"/>
      <c r="C18" s="6" t="n"/>
      <c r="D18" s="7" t="n"/>
      <c r="E18" s="6" t="n"/>
    </row>
    <row r="19">
      <c r="A19" s="6" t="n"/>
      <c r="B19" s="6" t="n"/>
      <c r="C19" s="6" t="n"/>
      <c r="D19" s="7" t="n"/>
      <c r="E19" s="6" t="n"/>
    </row>
    <row r="20">
      <c r="A20" s="8" t="inlineStr">
        <is>
          <t>Você</t>
        </is>
      </c>
      <c r="B20" s="9" t="n"/>
      <c r="C20" s="9" t="n"/>
      <c r="D20" s="10" t="n"/>
      <c r="E20" s="9" t="n"/>
    </row>
    <row r="21">
      <c r="A21" s="11" t="inlineStr">
        <is>
          <t>Pró-labore desejado (bruto)</t>
        </is>
      </c>
      <c r="B21" s="20" t="n">
        <v>2500</v>
      </c>
      <c r="C21" s="22" t="inlineStr">
        <is>
          <t>por mês</t>
        </is>
      </c>
      <c r="D21" s="14" t="inlineStr">
        <is>
          <t>Seu salário. Fase 1 = 2.500 · Fase 2 = 5.000.</t>
        </is>
      </c>
      <c r="E21" s="6" t="n"/>
    </row>
    <row r="22">
      <c r="A22" s="11" t="inlineStr">
        <is>
          <t>INSS sobre o pró-labore</t>
        </is>
      </c>
      <c r="B22" s="23" t="n">
        <v>0.11</v>
      </c>
      <c r="C22" s="13" t="n"/>
      <c r="D22" s="14" t="inlineStr">
        <is>
          <t>Descontado de você (11%).</t>
        </is>
      </c>
      <c r="E22" s="6" t="n"/>
    </row>
    <row r="23">
      <c r="A23" s="11" t="inlineStr">
        <is>
          <t>Margem de lucro desejada</t>
        </is>
      </c>
      <c r="B23" s="23" t="n">
        <v>0.2</v>
      </c>
      <c r="C23" s="13" t="n"/>
      <c r="D23" s="14" t="inlineStr">
        <is>
          <t>Vai para reserva de caixa e reinvestimento.</t>
        </is>
      </c>
      <c r="E23" s="6" t="n"/>
    </row>
    <row r="24">
      <c r="A24" s="6" t="n"/>
      <c r="B24" s="6" t="n"/>
      <c r="C24" s="6" t="n"/>
      <c r="D24" s="7" t="n"/>
      <c r="E24" s="6" t="n"/>
    </row>
    <row r="25">
      <c r="A25" s="8" t="inlineStr">
        <is>
          <t>Impostos e taxas (Simples Nacional)</t>
        </is>
      </c>
      <c r="B25" s="9" t="n"/>
      <c r="C25" s="9" t="n"/>
      <c r="D25" s="10" t="n"/>
      <c r="E25" s="9" t="n"/>
    </row>
    <row r="26">
      <c r="A26" s="11" t="inlineStr">
        <is>
          <t>Alíquota Anexo III (com Fator R)</t>
        </is>
      </c>
      <c r="B26" s="23" t="n">
        <v>0.06</v>
      </c>
      <c r="C26" s="13" t="n"/>
      <c r="D26" s="14" t="inlineStr">
        <is>
          <t>Faixa inicial, até R$ 180 mil de faturamento em 12 meses.</t>
        </is>
      </c>
      <c r="E26" s="6" t="n"/>
    </row>
    <row r="27">
      <c r="A27" s="11" t="inlineStr">
        <is>
          <t>Alíquota Anexo V (sem Fator R)</t>
        </is>
      </c>
      <c r="B27" s="23" t="n">
        <v>0.155</v>
      </c>
      <c r="C27" s="13" t="n"/>
      <c r="D27" s="14" t="inlineStr">
        <is>
          <t>Vale se o pró-labore ficar abaixo de 28% da receita.</t>
        </is>
      </c>
      <c r="E27" s="6" t="n"/>
    </row>
    <row r="28">
      <c r="A28" s="11" t="inlineStr">
        <is>
          <t>Fator R mínimo</t>
        </is>
      </c>
      <c r="B28" s="23" t="n">
        <v>0.28</v>
      </c>
      <c r="C28" s="13" t="n"/>
      <c r="D28" s="14" t="inlineStr">
        <is>
          <t>Pró-labore ÷ receita precisa ser ≥ 28%.</t>
        </is>
      </c>
      <c r="E28" s="6" t="n"/>
    </row>
    <row r="29">
      <c r="A29" s="11" t="inlineStr">
        <is>
          <t>Taxa do meio de pagamento</t>
        </is>
      </c>
      <c r="B29" s="23" t="n">
        <v>0.03</v>
      </c>
      <c r="C29" s="13" t="n"/>
      <c r="D29" s="14" t="inlineStr">
        <is>
          <t>Pix/boleto/cartão no Asaas, média aproximada.</t>
        </is>
      </c>
      <c r="E29" s="6" t="n"/>
    </row>
    <row r="30">
      <c r="A30" s="5" t="inlineStr">
        <is>
          <t>Confirme alíquotas e enquadramento (CNAE 6203-1/00 ou 6311-9/00) com o contador.</t>
        </is>
      </c>
      <c r="B30" s="6" t="n"/>
      <c r="C30" s="6" t="n"/>
      <c r="D30" s="7" t="n"/>
      <c r="E30" s="6" t="n"/>
    </row>
    <row r="31">
      <c r="A31" s="6" t="n"/>
      <c r="B31" s="6" t="n"/>
      <c r="C31" s="6" t="n"/>
      <c r="D31" s="7" t="n"/>
      <c r="E31" s="6" t="n"/>
    </row>
    <row r="32">
      <c r="A32" s="8" t="inlineStr">
        <is>
          <t>Preços do Kinetic</t>
        </is>
      </c>
      <c r="B32" s="9" t="n"/>
      <c r="C32" s="9" t="n"/>
      <c r="D32" s="10" t="n"/>
      <c r="E32" s="9" t="n"/>
    </row>
    <row r="33">
      <c r="A33" s="11" t="inlineStr">
        <is>
          <t>Rede: preço por aluno ativo</t>
        </is>
      </c>
      <c r="B33" s="20" t="n">
        <v>3</v>
      </c>
      <c r="C33" s="22" t="inlineStr">
        <is>
          <t>por mês</t>
        </is>
      </c>
      <c r="D33" s="14" t="inlineStr">
        <is>
          <t>Hipótese a validar no piloto (R$ 2 a R$ 4).</t>
        </is>
      </c>
      <c r="E33" s="6" t="n"/>
    </row>
    <row r="34">
      <c r="A34" s="11" t="inlineStr">
        <is>
          <t>Rede: alunos ativos por unidade</t>
        </is>
      </c>
      <c r="B34" s="24" t="n">
        <v>1000</v>
      </c>
      <c r="C34" s="13" t="n"/>
      <c r="D34" s="14" t="inlineStr">
        <is>
          <t>Média por academia.</t>
        </is>
      </c>
      <c r="E34" s="6" t="n"/>
    </row>
    <row r="35">
      <c r="A35" s="11" t="inlineStr">
        <is>
          <t>Personal: plano Pro</t>
        </is>
      </c>
      <c r="B35" s="20" t="n">
        <v>49.9</v>
      </c>
      <c r="C35" s="22" t="inlineStr">
        <is>
          <t>por mês</t>
        </is>
      </c>
      <c r="D35" s="25" t="n"/>
      <c r="E35" s="6" t="n"/>
    </row>
    <row r="36">
      <c r="A36" s="11" t="inlineStr">
        <is>
          <t>Personal: plano Base</t>
        </is>
      </c>
      <c r="B36" s="20" t="n">
        <v>14.9</v>
      </c>
      <c r="C36" s="22" t="inlineStr">
        <is>
          <t>por mês</t>
        </is>
      </c>
      <c r="D36" s="25" t="n"/>
      <c r="E36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2" customWidth="1" min="3" max="3"/>
    <col width="62" customWidth="1" min="4" max="4"/>
  </cols>
  <sheetData>
    <row r="1" ht="26" customHeight="1">
      <c r="A1" s="1" t="inlineStr">
        <is>
          <t>Quanto precisa entrar por mês</t>
        </is>
      </c>
      <c r="B1" s="2" t="n"/>
      <c r="C1" s="2" t="n"/>
      <c r="D1" s="3" t="n"/>
      <c r="E1" s="2" t="n"/>
    </row>
    <row r="2">
      <c r="A2" s="4" t="inlineStr">
        <is>
          <t>Calculado a partir da aba Premissas. Não edite aqui.</t>
        </is>
      </c>
      <c r="B2" s="2" t="n"/>
      <c r="C2" s="2" t="n"/>
      <c r="D2" s="3" t="n"/>
      <c r="E2" s="2" t="n"/>
    </row>
    <row r="3">
      <c r="A3" s="6" t="n"/>
      <c r="B3" s="6" t="n"/>
      <c r="C3" s="6" t="n"/>
      <c r="D3" s="7" t="n"/>
      <c r="E3" s="6" t="n"/>
    </row>
    <row r="4">
      <c r="A4" s="8" t="inlineStr">
        <is>
          <t>Receita mínima</t>
        </is>
      </c>
      <c r="B4" s="9" t="n"/>
      <c r="C4" s="9" t="n"/>
      <c r="D4" s="10" t="n"/>
      <c r="E4" s="9" t="n"/>
    </row>
    <row r="5">
      <c r="A5" s="11" t="inlineStr">
        <is>
          <t>Custos fixos</t>
        </is>
      </c>
      <c r="B5" s="26">
        <f>Premissas!$B$17</f>
        <v/>
      </c>
      <c r="C5" s="13" t="n"/>
      <c r="D5" s="25" t="n"/>
      <c r="E5" s="6" t="n"/>
    </row>
    <row r="6">
      <c r="A6" s="11" t="inlineStr">
        <is>
          <t>Pró-labore</t>
        </is>
      </c>
      <c r="B6" s="26">
        <f>Premissas!$B$21</f>
        <v/>
      </c>
      <c r="C6" s="13" t="n"/>
      <c r="D6" s="25" t="n"/>
      <c r="E6" s="6" t="n"/>
    </row>
    <row r="7">
      <c r="A7" s="11" t="inlineStr">
        <is>
          <t>Impostos + taxas (% da receita)</t>
        </is>
      </c>
      <c r="B7" s="27">
        <f>Premissas!$B$26+Premissas!$B$29</f>
        <v/>
      </c>
      <c r="C7" s="13" t="n"/>
      <c r="D7" s="14" t="inlineStr">
        <is>
          <t>Considera Anexo III (Fator R atendido).</t>
        </is>
      </c>
      <c r="E7" s="6" t="n"/>
    </row>
    <row r="8">
      <c r="A8" s="11" t="inlineStr">
        <is>
          <t>Margem desejada (% da receita)</t>
        </is>
      </c>
      <c r="B8" s="27">
        <f>Premissas!$B$23</f>
        <v/>
      </c>
      <c r="C8" s="13" t="n"/>
      <c r="D8" s="25" t="n"/>
      <c r="E8" s="6" t="n"/>
    </row>
    <row r="9">
      <c r="A9" s="11" t="inlineStr">
        <is>
          <t>RECEITA MENSAL NECESSÁRIA</t>
        </is>
      </c>
      <c r="B9" s="28">
        <f>(B5+B6)/(1-B7-B8)</f>
        <v/>
      </c>
      <c r="C9" s="13" t="n"/>
      <c r="D9" s="14" t="inlineStr">
        <is>
          <t>(custos fixos + pró-labore) ÷ (1 − impostos − taxas − margem)</t>
        </is>
      </c>
      <c r="E9" s="6" t="n"/>
    </row>
    <row r="10">
      <c r="A10" s="11" t="inlineStr">
        <is>
          <t>Receita anual equivalente</t>
        </is>
      </c>
      <c r="B10" s="29">
        <f>B9*12</f>
        <v/>
      </c>
      <c r="C10" s="13" t="n"/>
      <c r="D10" s="25" t="n"/>
      <c r="E10" s="6" t="n"/>
    </row>
    <row r="11">
      <c r="A11" s="11" t="inlineStr">
        <is>
          <t>Fator R (pró-labore ÷ receita)</t>
        </is>
      </c>
      <c r="B11" s="30">
        <f>IFERROR(B6/B9,0)</f>
        <v/>
      </c>
      <c r="C11" s="13" t="n"/>
      <c r="D11" s="25" t="n"/>
      <c r="E11" s="6" t="n"/>
    </row>
    <row r="12">
      <c r="A12" s="11" t="inlineStr">
        <is>
          <t>Fator R atendido?</t>
        </is>
      </c>
      <c r="B12" s="31">
        <f>IF(B11&gt;=Premissas!$B$28,"SIM · paga Anexo III","NÃO · aumente o pró-labore")</f>
        <v/>
      </c>
      <c r="C12" s="13" t="n"/>
      <c r="D12" s="25" t="n"/>
      <c r="E12" s="6" t="n"/>
    </row>
    <row r="13">
      <c r="A13" s="6" t="n"/>
      <c r="B13" s="6" t="n"/>
      <c r="C13" s="6" t="n"/>
      <c r="D13" s="7" t="n"/>
      <c r="E13" s="6" t="n"/>
    </row>
    <row r="14">
      <c r="A14" s="8" t="inlineStr">
        <is>
          <t>Isso equivale a (só uma fonte de receita por linha)</t>
        </is>
      </c>
      <c r="B14" s="9" t="n"/>
      <c r="C14" s="9" t="n"/>
      <c r="D14" s="10" t="n"/>
      <c r="E14" s="9" t="n"/>
    </row>
    <row r="15">
      <c r="A15" s="11" t="inlineStr">
        <is>
          <t>Alunos ativos em redes</t>
        </is>
      </c>
      <c r="B15" s="32">
        <f>ROUNDUP(B9/Premissas!$B$33,0)</f>
        <v/>
      </c>
      <c r="C15" s="22" t="inlineStr">
        <is>
          <t>alunos</t>
        </is>
      </c>
      <c r="D15" s="25" t="n"/>
      <c r="E15" s="6" t="n"/>
    </row>
    <row r="16">
      <c r="A16" s="11" t="inlineStr">
        <is>
          <t>Unidades de academia</t>
        </is>
      </c>
      <c r="B16" s="32">
        <f>ROUNDUP(B9/(Premissas!$B$33*Premissas!$B$34),0)</f>
        <v/>
      </c>
      <c r="C16" s="22" t="inlineStr">
        <is>
          <t>unidades</t>
        </is>
      </c>
      <c r="D16" s="25" t="n"/>
      <c r="E16" s="6" t="n"/>
    </row>
    <row r="17">
      <c r="A17" s="11" t="inlineStr">
        <is>
          <t>Personais no plano Pro</t>
        </is>
      </c>
      <c r="B17" s="32">
        <f>ROUNDUP(B9/Premissas!$B$35,0)</f>
        <v/>
      </c>
      <c r="C17" s="22" t="inlineStr">
        <is>
          <t>personais</t>
        </is>
      </c>
      <c r="D17" s="25" t="n"/>
      <c r="E17" s="6" t="n"/>
    </row>
    <row r="18">
      <c r="A18" s="11" t="inlineStr">
        <is>
          <t>Personais no plano Base</t>
        </is>
      </c>
      <c r="B18" s="32">
        <f>ROUNDUP(B9/Premissas!$B$36,0)</f>
        <v/>
      </c>
      <c r="C18" s="22" t="inlineStr">
        <is>
          <t>personais</t>
        </is>
      </c>
      <c r="D18" s="25" t="n"/>
      <c r="E18" s="6" t="n"/>
    </row>
    <row r="19">
      <c r="A19" s="6" t="n"/>
      <c r="B19" s="6" t="n"/>
      <c r="C19" s="6" t="n"/>
      <c r="D19" s="7" t="n"/>
      <c r="E19" s="6" t="n"/>
    </row>
    <row r="20">
      <c r="A20" s="8" t="inlineStr">
        <is>
          <t>O que chega no seu bolso</t>
        </is>
      </c>
      <c r="B20" s="9" t="n"/>
      <c r="C20" s="9" t="n"/>
      <c r="D20" s="10" t="n"/>
      <c r="E20" s="9" t="n"/>
    </row>
    <row r="21">
      <c r="A21" s="11" t="inlineStr">
        <is>
          <t>Pró-labore bruto</t>
        </is>
      </c>
      <c r="B21" s="26">
        <f>Premissas!$B$21</f>
        <v/>
      </c>
      <c r="C21" s="13" t="n"/>
      <c r="D21" s="25" t="n"/>
      <c r="E21" s="6" t="n"/>
    </row>
    <row r="22">
      <c r="A22" s="11" t="inlineStr">
        <is>
          <t>(−) INSS</t>
        </is>
      </c>
      <c r="B22" s="26">
        <f>-Premissas!$B$21*Premissas!$B$22</f>
        <v/>
      </c>
      <c r="C22" s="13" t="n"/>
      <c r="D22" s="25" t="n"/>
      <c r="E22" s="6" t="n"/>
    </row>
    <row r="23">
      <c r="A23" s="11" t="inlineStr">
        <is>
          <t>Pró-labore líquido</t>
        </is>
      </c>
      <c r="B23" s="33">
        <f>B21+B22</f>
        <v/>
      </c>
      <c r="C23" s="13" t="n"/>
      <c r="D23" s="14" t="inlineStr">
        <is>
          <t>IR isento até R$ 5 mil/mês a partir de 2026 (confirme com o contador).</t>
        </is>
      </c>
      <c r="E23" s="6" t="n"/>
    </row>
    <row r="24">
      <c r="A24" s="11" t="inlineStr">
        <is>
          <t>Margem que fica na empresa</t>
        </is>
      </c>
      <c r="B24" s="26">
        <f>B9*Premissas!$B$23</f>
        <v/>
      </c>
      <c r="C24" s="13" t="n"/>
      <c r="D24" s="14" t="inlineStr">
        <is>
          <t>Reserva de caixa primeiro; depois pode ser distribuída a você sem INSS.</t>
        </is>
      </c>
      <c r="E24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2" customWidth="1" min="3" max="3"/>
    <col width="52" customWidth="1" min="4" max="4"/>
  </cols>
  <sheetData>
    <row r="1" ht="26" customHeight="1">
      <c r="A1" s="1" t="inlineStr">
        <is>
          <t>Simulador: e se eu tiver...</t>
        </is>
      </c>
      <c r="B1" s="2" t="n"/>
      <c r="C1" s="2" t="n"/>
      <c r="D1" s="3" t="n"/>
      <c r="E1" s="2" t="n"/>
    </row>
    <row r="2">
      <c r="A2" s="4" t="inlineStr">
        <is>
          <t>Preencha os amarelos com clientes reais ou imaginados e veja o resultado.</t>
        </is>
      </c>
      <c r="B2" s="2" t="n"/>
      <c r="C2" s="2" t="n"/>
      <c r="D2" s="3" t="n"/>
      <c r="E2" s="2" t="n"/>
    </row>
    <row r="3">
      <c r="A3" s="6" t="n"/>
      <c r="B3" s="6" t="n"/>
      <c r="C3" s="6" t="n"/>
      <c r="D3" s="7" t="n"/>
      <c r="E3" s="6" t="n"/>
    </row>
    <row r="4">
      <c r="A4" s="8" t="inlineStr">
        <is>
          <t>Clientes</t>
        </is>
      </c>
      <c r="B4" s="9" t="n"/>
      <c r="C4" s="9" t="n"/>
      <c r="D4" s="10" t="n"/>
      <c r="E4" s="9" t="n"/>
    </row>
    <row r="5">
      <c r="A5" s="11" t="inlineStr">
        <is>
          <t>Unidades de academia</t>
        </is>
      </c>
      <c r="B5" s="24" t="n">
        <v>2</v>
      </c>
      <c r="C5" s="13" t="n"/>
      <c r="D5" s="14" t="inlineStr">
        <is>
          <t>Ex.: a rede do piloto.</t>
        </is>
      </c>
      <c r="E5" s="6" t="n"/>
    </row>
    <row r="6">
      <c r="A6" s="11" t="inlineStr">
        <is>
          <t>Alunos ativos por unidade</t>
        </is>
      </c>
      <c r="B6" s="32">
        <f>Premissas!$B$34</f>
        <v/>
      </c>
      <c r="C6" s="13" t="n"/>
      <c r="D6" s="14" t="inlineStr">
        <is>
          <t>Vem das Premissas; pode sobrescrever.</t>
        </is>
      </c>
      <c r="E6" s="6" t="n"/>
    </row>
    <row r="7">
      <c r="A7" s="11" t="inlineStr">
        <is>
          <t>Preço por aluno ativo</t>
        </is>
      </c>
      <c r="B7" s="26">
        <f>Premissas!$B$33</f>
        <v/>
      </c>
      <c r="C7" s="13" t="n"/>
      <c r="D7" s="25" t="n"/>
      <c r="E7" s="6" t="n"/>
    </row>
    <row r="8">
      <c r="A8" s="11" t="inlineStr">
        <is>
          <t>Desconto de fundadora</t>
        </is>
      </c>
      <c r="B8" s="23" t="n">
        <v>0.5</v>
      </c>
      <c r="C8" s="13" t="n"/>
      <c r="D8" s="14" t="inlineStr">
        <is>
          <t>Ex.: 50% nos 12 primeiros meses.</t>
        </is>
      </c>
      <c r="E8" s="6" t="n"/>
    </row>
    <row r="9">
      <c r="A9" s="11" t="inlineStr">
        <is>
          <t>Personais no plano Pro</t>
        </is>
      </c>
      <c r="B9" s="24" t="n">
        <v>20</v>
      </c>
      <c r="C9" s="13" t="n"/>
      <c r="D9" s="25" t="n"/>
      <c r="E9" s="6" t="n"/>
    </row>
    <row r="10">
      <c r="A10" s="11" t="inlineStr">
        <is>
          <t>Personais no plano Base</t>
        </is>
      </c>
      <c r="B10" s="24" t="n">
        <v>30</v>
      </c>
      <c r="C10" s="13" t="n"/>
      <c r="D10" s="25" t="n"/>
      <c r="E10" s="6" t="n"/>
    </row>
    <row r="11">
      <c r="A11" s="6" t="n"/>
      <c r="B11" s="6" t="n"/>
      <c r="C11" s="6" t="n"/>
      <c r="D11" s="7" t="n"/>
      <c r="E11" s="6" t="n"/>
    </row>
    <row r="12">
      <c r="A12" s="8" t="inlineStr">
        <is>
          <t>Resultado do mês</t>
        </is>
      </c>
      <c r="B12" s="9" t="n"/>
      <c r="C12" s="9" t="n"/>
      <c r="D12" s="10" t="n"/>
      <c r="E12" s="9" t="n"/>
    </row>
    <row r="13">
      <c r="A13" s="11" t="inlineStr">
        <is>
          <t>Receita de redes</t>
        </is>
      </c>
      <c r="B13" s="17">
        <f>B5*B6*B7*(1-B8)</f>
        <v/>
      </c>
      <c r="C13" s="13" t="n"/>
      <c r="D13" s="25" t="n"/>
      <c r="E13" s="6" t="n"/>
    </row>
    <row r="14">
      <c r="A14" s="11" t="inlineStr">
        <is>
          <t>Receita de personais</t>
        </is>
      </c>
      <c r="B14" s="26">
        <f>B9*Premissas!$B$35+B10*Premissas!$B$36</f>
        <v/>
      </c>
      <c r="C14" s="13" t="n"/>
      <c r="D14" s="25" t="n"/>
      <c r="E14" s="6" t="n"/>
    </row>
    <row r="15">
      <c r="A15" s="11" t="inlineStr">
        <is>
          <t>RECEITA TOTAL</t>
        </is>
      </c>
      <c r="B15" s="33">
        <f>B13+B14</f>
        <v/>
      </c>
      <c r="C15" s="13" t="n"/>
      <c r="D15" s="25" t="n"/>
      <c r="E15" s="6" t="n"/>
    </row>
    <row r="16">
      <c r="A16" s="11" t="inlineStr">
        <is>
          <t>Fator R</t>
        </is>
      </c>
      <c r="B16" s="27">
        <f>IFERROR(Premissas!$B$21/B15,0)</f>
        <v/>
      </c>
      <c r="C16" s="13" t="n"/>
      <c r="D16" s="14" t="inlineStr">
        <is>
          <t>Se receita for zero, mostra 0.</t>
        </is>
      </c>
      <c r="E16" s="6" t="n"/>
    </row>
    <row r="17">
      <c r="A17" s="11" t="inlineStr">
        <is>
          <t>Alíquota aplicada</t>
        </is>
      </c>
      <c r="B17" s="27">
        <f>IF(B16&gt;=Premissas!$B$28,Premissas!$B$26,Premissas!$B$27)</f>
        <v/>
      </c>
      <c r="C17" s="13" t="n"/>
      <c r="D17" s="14" t="inlineStr">
        <is>
          <t>Anexo III se Fator R ≥ 28%, senão Anexo V.</t>
        </is>
      </c>
      <c r="E17" s="6" t="n"/>
    </row>
    <row r="18">
      <c r="A18" s="11" t="inlineStr">
        <is>
          <t>(−) Impostos</t>
        </is>
      </c>
      <c r="B18" s="17">
        <f>-B15*B17</f>
        <v/>
      </c>
      <c r="C18" s="13" t="n"/>
      <c r="D18" s="25" t="n"/>
      <c r="E18" s="6" t="n"/>
    </row>
    <row r="19">
      <c r="A19" s="11" t="inlineStr">
        <is>
          <t>(−) Taxas de pagamento</t>
        </is>
      </c>
      <c r="B19" s="26">
        <f>-B15*Premissas!$B$29</f>
        <v/>
      </c>
      <c r="C19" s="13" t="n"/>
      <c r="D19" s="25" t="n"/>
      <c r="E19" s="6" t="n"/>
    </row>
    <row r="20">
      <c r="A20" s="11" t="inlineStr">
        <is>
          <t>(−) Custos fixos</t>
        </is>
      </c>
      <c r="B20" s="26">
        <f>-Premissas!$B$17</f>
        <v/>
      </c>
      <c r="C20" s="13" t="n"/>
      <c r="D20" s="25" t="n"/>
      <c r="E20" s="6" t="n"/>
    </row>
    <row r="21">
      <c r="A21" s="11" t="inlineStr">
        <is>
          <t>(−) Seu pró-labore</t>
        </is>
      </c>
      <c r="B21" s="26">
        <f>-Premissas!$B$21</f>
        <v/>
      </c>
      <c r="C21" s="13" t="n"/>
      <c r="D21" s="25" t="n"/>
      <c r="E21" s="6" t="n"/>
    </row>
    <row r="22">
      <c r="A22" s="11" t="inlineStr">
        <is>
          <t>LUCRO DA EMPRESA</t>
        </is>
      </c>
      <c r="B22" s="28">
        <f>SUM(B18:B21)+B15</f>
        <v/>
      </c>
      <c r="C22" s="13" t="n"/>
      <c r="D22" s="25" t="n"/>
      <c r="E22" s="6" t="n"/>
    </row>
    <row r="23">
      <c r="A23" s="11" t="inlineStr">
        <is>
          <t>Margem de lucro</t>
        </is>
      </c>
      <c r="B23" s="30">
        <f>IFERROR(B22/B15,0)</f>
        <v/>
      </c>
      <c r="C23" s="13" t="n"/>
      <c r="D23" s="25" t="n"/>
      <c r="E23" s="6" t="n"/>
    </row>
    <row r="24">
      <c r="A24" s="11" t="inlineStr">
        <is>
          <t>Situação</t>
        </is>
      </c>
      <c r="B24" s="31">
        <f>IF(B22&lt;0,"PREJUÍZO · ainda não paga seu pró-labore",IF(B23&lt;Premissas!$B$23,"Paga você, mas abaixo da margem desejada","META ATINGIDA"))</f>
        <v/>
      </c>
      <c r="C24" s="13" t="n"/>
      <c r="D24" s="25" t="n"/>
      <c r="E24" s="6" t="n"/>
    </row>
    <row r="25">
      <c r="A25" s="11" t="inlineStr">
        <is>
          <t>Falta para a meta</t>
        </is>
      </c>
      <c r="B25" s="26">
        <f>MAX(0,Meta!B9-B15)</f>
        <v/>
      </c>
      <c r="C25" s="13" t="n"/>
      <c r="D25" s="14" t="inlineStr">
        <is>
          <t>Receita que ainda falta para a aba Meta.</t>
        </is>
      </c>
      <c r="E25" s="6" t="n"/>
    </row>
  </sheetData>
  <conditionalFormatting sqref="B22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2026-10-23T03:17:41Z</dcterms:created>
  <dcterms:modified xsi:type="dcterms:W3CDTF">2026-10-23T03:17:41Z</dcterms:modified>
</cp:coreProperties>
</file>